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/>
  <workbookPr/>
  <mc:AlternateContent xmlns:mc="http://schemas.openxmlformats.org/markup-compatibility/2006">
    <mc:Choice Requires="x15">
      <x15ac:absPath xmlns:x15ac="http://schemas.microsoft.com/office/spreadsheetml/2010/11/ac" url="/Users/xliu/Documents/Udacity_Machine_Learning_Foundation_Project/Proj2_Statistics_of_Stroop_Task/"/>
    </mc:Choice>
  </mc:AlternateContent>
  <bookViews>
    <workbookView xWindow="0" yWindow="460" windowWidth="25600" windowHeight="14560" tabRatio="500"/>
  </bookViews>
  <sheets>
    <sheet name="stroopdata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" i="1" l="1"/>
  <c r="K2" i="1"/>
  <c r="G2" i="1"/>
  <c r="P3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N2" i="1"/>
  <c r="O2" i="1"/>
  <c r="E2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G3" i="1"/>
  <c r="I2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K3" i="1"/>
</calcChain>
</file>

<file path=xl/sharedStrings.xml><?xml version="1.0" encoding="utf-8"?>
<sst xmlns="http://schemas.openxmlformats.org/spreadsheetml/2006/main" count="36" uniqueCount="36">
  <si>
    <t>Congruent</t>
  </si>
  <si>
    <t>Incongruent</t>
  </si>
  <si>
    <t>c: mean</t>
  </si>
  <si>
    <t>c: std</t>
  </si>
  <si>
    <t>i: mean</t>
  </si>
  <si>
    <t>i: std</t>
  </si>
  <si>
    <t>c: square of difference(data-mean)</t>
  </si>
  <si>
    <t>i: square of difference(data-mean)</t>
  </si>
  <si>
    <t>D:std</t>
  </si>
  <si>
    <t>D:data difference</t>
  </si>
  <si>
    <t>D:mean of difference</t>
  </si>
  <si>
    <t>D:square of difference(data diff - mean diff)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</si>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</sst>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5"/>
  <sheetViews>
    <sheetView tabSelected="1" workbookViewId="0">
      <selection activeCell="L10" sqref="L10"/>
    </sheetView>
  </sheetViews>
  <sheetFormatPr baseColWidth="10" defaultRowHeight="16" x14ac:dyDescent="0.2"/>
  <cols>
    <col min="1" max="6" width="10.83203125" style="2"/>
    <col min="7" max="7" width="11.6640625" style="2" bestFit="1" customWidth="1"/>
    <col min="8" max="10" width="10.83203125" style="2"/>
    <col min="11" max="11" width="11.6640625" style="2" bestFit="1" customWidth="1"/>
    <col min="12" max="13" width="10.83203125" style="2"/>
    <col min="14" max="16" width="11.6640625" style="2" bestFit="1" customWidth="1"/>
    <col min="17" max="16384" width="10.83203125" style="2"/>
  </cols>
  <sheetData>
    <row r="1" spans="1:16" s="1" customFormat="1" ht="64" x14ac:dyDescent="0.2">
      <c r="B1" s="1" t="s">
        <v>0</v>
      </c>
      <c r="C1" s="1" t="s">
        <v>1</v>
      </c>
      <c r="E1" s="1" t="s">
        <v>2</v>
      </c>
      <c r="F1" s="1" t="s">
        <v>6</v>
      </c>
      <c r="G1" s="1" t="s">
        <v>3</v>
      </c>
      <c r="I1" s="1" t="s">
        <v>4</v>
      </c>
      <c r="J1" s="1" t="s">
        <v>7</v>
      </c>
      <c r="K1" s="1" t="s">
        <v>5</v>
      </c>
      <c r="M1" s="1" t="s">
        <v>9</v>
      </c>
      <c r="N1" s="1" t="s">
        <v>10</v>
      </c>
      <c r="O1" s="1" t="s">
        <v>11</v>
      </c>
      <c r="P1" s="1" t="s">
        <v>8</v>
      </c>
    </row>
    <row r="2" spans="1:16" x14ac:dyDescent="0.2">
      <c r="A2" s="2" t="s">
        <v>12</v>
      </c>
      <c r="B2" s="2">
        <v>12.079000000000001</v>
      </c>
      <c r="C2" s="2">
        <v>19.277999999999999</v>
      </c>
      <c r="E2" s="2">
        <f>AVERAGE(B2:B25)</f>
        <v>14.051125000000001</v>
      </c>
      <c r="F2" s="2">
        <f>(B2-$E$2)^2</f>
        <v>3.8892770156250007</v>
      </c>
      <c r="G2" s="2">
        <f>SUM(F2:F25)/23</f>
        <v>12.669029070652176</v>
      </c>
      <c r="I2" s="2">
        <f>AVERAGE(C2:C25)</f>
        <v>22.015916666666669</v>
      </c>
      <c r="J2" s="2">
        <f>(C2-$I$2)^2</f>
        <v>7.4961876736111321</v>
      </c>
      <c r="K2" s="2">
        <f>SUM(J2:J25)/23</f>
        <v>23.011757036231884</v>
      </c>
      <c r="M2" s="2">
        <f>C2-B2</f>
        <v>7.1989999999999981</v>
      </c>
      <c r="N2" s="2">
        <f>AVERAGE(M2:M25)</f>
        <v>7.964791666666664</v>
      </c>
      <c r="O2" s="2">
        <f>(M2-$N$2)^2</f>
        <v>0.58643687673611011</v>
      </c>
      <c r="P2" s="2">
        <f>SUM(O2:O25)/23</f>
        <v>23.666540867753621</v>
      </c>
    </row>
    <row r="3" spans="1:16" x14ac:dyDescent="0.2">
      <c r="A3" s="2" t="s">
        <v>13</v>
      </c>
      <c r="B3" s="2">
        <v>16.791</v>
      </c>
      <c r="C3" s="2">
        <v>18.741</v>
      </c>
      <c r="F3" s="2">
        <f t="shared" ref="F3:F25" si="0">(B3-$E$2)^2</f>
        <v>7.5069150156249975</v>
      </c>
      <c r="G3" s="2">
        <f>SQRT(G2)</f>
        <v>3.5593579576451955</v>
      </c>
      <c r="J3" s="2">
        <f t="shared" ref="J3:J25" si="1">(C3-$I$2)^2</f>
        <v>10.72507917361113</v>
      </c>
      <c r="K3" s="2">
        <f>SQRT(K2)</f>
        <v>4.7970571224691376</v>
      </c>
      <c r="M3" s="2">
        <f t="shared" ref="M3:M25" si="2">C3-B3</f>
        <v>1.9499999999999993</v>
      </c>
      <c r="O3" s="2">
        <f t="shared" ref="O3:O25" si="3">(M3-$N$2)^2</f>
        <v>36.177718793402754</v>
      </c>
      <c r="P3" s="2">
        <f>SQRT(P2)</f>
        <v>4.8648269103590538</v>
      </c>
    </row>
    <row r="4" spans="1:16" x14ac:dyDescent="0.2">
      <c r="A4" s="2" t="s">
        <v>14</v>
      </c>
      <c r="B4" s="2">
        <v>9.5640000000000001</v>
      </c>
      <c r="C4" s="2">
        <v>21.213999999999999</v>
      </c>
      <c r="F4" s="2">
        <f t="shared" si="0"/>
        <v>20.134290765625007</v>
      </c>
      <c r="J4" s="2">
        <f t="shared" si="1"/>
        <v>0.64307034027778409</v>
      </c>
      <c r="M4" s="2">
        <f t="shared" si="2"/>
        <v>11.649999999999999</v>
      </c>
      <c r="O4" s="2">
        <f t="shared" si="3"/>
        <v>13.580760460069452</v>
      </c>
    </row>
    <row r="5" spans="1:16" x14ac:dyDescent="0.2">
      <c r="A5" s="2" t="s">
        <v>15</v>
      </c>
      <c r="B5" s="2">
        <v>8.6300000000000008</v>
      </c>
      <c r="C5" s="2">
        <v>15.686999999999999</v>
      </c>
      <c r="F5" s="2">
        <f t="shared" si="0"/>
        <v>29.388596265625001</v>
      </c>
      <c r="J5" s="2">
        <f t="shared" si="1"/>
        <v>40.055186173611155</v>
      </c>
      <c r="M5" s="2">
        <f t="shared" si="2"/>
        <v>7.0569999999999986</v>
      </c>
      <c r="O5" s="2">
        <f t="shared" si="3"/>
        <v>0.8240857100694422</v>
      </c>
    </row>
    <row r="6" spans="1:16" x14ac:dyDescent="0.2">
      <c r="A6" s="2" t="s">
        <v>16</v>
      </c>
      <c r="B6" s="2">
        <v>14.669</v>
      </c>
      <c r="C6" s="2">
        <v>22.803000000000001</v>
      </c>
      <c r="F6" s="2">
        <f t="shared" si="0"/>
        <v>0.38176951562499967</v>
      </c>
      <c r="J6" s="2">
        <f t="shared" si="1"/>
        <v>0.61950017361110832</v>
      </c>
      <c r="M6" s="2">
        <f t="shared" si="2"/>
        <v>8.1340000000000003</v>
      </c>
      <c r="O6" s="2">
        <f t="shared" si="3"/>
        <v>2.8631460069445447E-2</v>
      </c>
    </row>
    <row r="7" spans="1:16" x14ac:dyDescent="0.2">
      <c r="A7" s="2" t="s">
        <v>17</v>
      </c>
      <c r="B7" s="2">
        <v>12.238</v>
      </c>
      <c r="C7" s="2">
        <v>20.878</v>
      </c>
      <c r="F7" s="2">
        <f t="shared" si="0"/>
        <v>3.2874222656250045</v>
      </c>
      <c r="J7" s="2">
        <f t="shared" si="1"/>
        <v>1.2948543402777835</v>
      </c>
      <c r="M7" s="2">
        <f t="shared" si="2"/>
        <v>8.64</v>
      </c>
      <c r="O7" s="2">
        <f t="shared" si="3"/>
        <v>0.4559062934027821</v>
      </c>
    </row>
    <row r="8" spans="1:16" x14ac:dyDescent="0.2">
      <c r="A8" s="2" t="s">
        <v>18</v>
      </c>
      <c r="B8" s="2">
        <v>14.692</v>
      </c>
      <c r="C8" s="2">
        <v>24.571999999999999</v>
      </c>
      <c r="F8" s="2">
        <f t="shared" si="0"/>
        <v>0.41072076562499926</v>
      </c>
      <c r="J8" s="2">
        <f t="shared" si="1"/>
        <v>6.5335620069444271</v>
      </c>
      <c r="M8" s="2">
        <f t="shared" si="2"/>
        <v>9.879999999999999</v>
      </c>
      <c r="O8" s="2">
        <f t="shared" si="3"/>
        <v>3.6680229600694507</v>
      </c>
    </row>
    <row r="9" spans="1:16" x14ac:dyDescent="0.2">
      <c r="A9" s="2" t="s">
        <v>19</v>
      </c>
      <c r="B9" s="2">
        <v>8.9870000000000001</v>
      </c>
      <c r="C9" s="2">
        <v>17.393999999999998</v>
      </c>
      <c r="F9" s="2">
        <f t="shared" si="0"/>
        <v>25.645362015625008</v>
      </c>
      <c r="J9" s="2">
        <f t="shared" si="1"/>
        <v>21.362113673611152</v>
      </c>
      <c r="M9" s="2">
        <f t="shared" si="2"/>
        <v>8.4069999999999983</v>
      </c>
      <c r="O9" s="2">
        <f t="shared" si="3"/>
        <v>0.1955482100694452</v>
      </c>
    </row>
    <row r="10" spans="1:16" x14ac:dyDescent="0.2">
      <c r="A10" s="2" t="s">
        <v>20</v>
      </c>
      <c r="B10" s="2">
        <v>9.4009999999999998</v>
      </c>
      <c r="C10" s="2">
        <v>20.762</v>
      </c>
      <c r="F10" s="2">
        <f t="shared" si="0"/>
        <v>21.623662515625011</v>
      </c>
      <c r="J10" s="2">
        <f t="shared" si="1"/>
        <v>1.5723070069444498</v>
      </c>
      <c r="M10" s="2">
        <f t="shared" si="2"/>
        <v>11.361000000000001</v>
      </c>
      <c r="O10" s="2">
        <f t="shared" si="3"/>
        <v>11.5342310434028</v>
      </c>
    </row>
    <row r="11" spans="1:16" x14ac:dyDescent="0.2">
      <c r="A11" s="2" t="s">
        <v>21</v>
      </c>
      <c r="B11" s="2">
        <v>14.48</v>
      </c>
      <c r="C11" s="2">
        <v>26.282</v>
      </c>
      <c r="F11" s="2">
        <f t="shared" si="0"/>
        <v>0.18393376562499972</v>
      </c>
      <c r="J11" s="2">
        <f t="shared" si="1"/>
        <v>18.199467006944424</v>
      </c>
      <c r="M11" s="2">
        <f t="shared" si="2"/>
        <v>11.802</v>
      </c>
      <c r="O11" s="2">
        <f t="shared" si="3"/>
        <v>14.724167793402795</v>
      </c>
    </row>
    <row r="12" spans="1:16" x14ac:dyDescent="0.2">
      <c r="A12" s="2" t="s">
        <v>22</v>
      </c>
      <c r="B12" s="2">
        <v>22.327999999999999</v>
      </c>
      <c r="C12" s="2">
        <v>24.524000000000001</v>
      </c>
      <c r="F12" s="2">
        <f t="shared" si="0"/>
        <v>68.506659765624974</v>
      </c>
      <c r="J12" s="2">
        <f t="shared" si="1"/>
        <v>6.290482006944436</v>
      </c>
      <c r="M12" s="2">
        <f t="shared" si="2"/>
        <v>2.1960000000000015</v>
      </c>
      <c r="O12" s="2">
        <f t="shared" si="3"/>
        <v>33.278957293402733</v>
      </c>
    </row>
    <row r="13" spans="1:16" x14ac:dyDescent="0.2">
      <c r="A13" s="2" t="s">
        <v>23</v>
      </c>
      <c r="B13" s="2">
        <v>15.298</v>
      </c>
      <c r="C13" s="2">
        <v>18.643999999999998</v>
      </c>
      <c r="F13" s="2">
        <f t="shared" si="0"/>
        <v>1.5546972656249982</v>
      </c>
      <c r="J13" s="2">
        <f t="shared" si="1"/>
        <v>11.369822006944473</v>
      </c>
      <c r="M13" s="2">
        <f t="shared" si="2"/>
        <v>3.3459999999999983</v>
      </c>
      <c r="O13" s="2">
        <f t="shared" si="3"/>
        <v>21.333236460069436</v>
      </c>
    </row>
    <row r="14" spans="1:16" x14ac:dyDescent="0.2">
      <c r="A14" s="2" t="s">
        <v>24</v>
      </c>
      <c r="B14" s="2">
        <v>15.073</v>
      </c>
      <c r="C14" s="2">
        <v>17.510000000000002</v>
      </c>
      <c r="F14" s="2">
        <f t="shared" si="0"/>
        <v>1.0442285156249993</v>
      </c>
      <c r="J14" s="2">
        <f t="shared" si="1"/>
        <v>20.303285006944453</v>
      </c>
      <c r="M14" s="2">
        <f t="shared" si="2"/>
        <v>2.4370000000000012</v>
      </c>
      <c r="O14" s="2">
        <f t="shared" si="3"/>
        <v>30.556480710069401</v>
      </c>
    </row>
    <row r="15" spans="1:16" x14ac:dyDescent="0.2">
      <c r="A15" s="2" t="s">
        <v>25</v>
      </c>
      <c r="B15" s="2">
        <v>16.928999999999998</v>
      </c>
      <c r="C15" s="2">
        <v>20.329999999999998</v>
      </c>
      <c r="F15" s="2">
        <f t="shared" si="0"/>
        <v>8.2821645156249861</v>
      </c>
      <c r="J15" s="2">
        <f t="shared" si="1"/>
        <v>2.8423150069444589</v>
      </c>
      <c r="M15" s="2">
        <f t="shared" si="2"/>
        <v>3.4009999999999998</v>
      </c>
      <c r="O15" s="2">
        <f t="shared" si="3"/>
        <v>20.828194376736089</v>
      </c>
    </row>
    <row r="16" spans="1:16" x14ac:dyDescent="0.2">
      <c r="A16" s="2" t="s">
        <v>26</v>
      </c>
      <c r="B16" s="2">
        <v>18.2</v>
      </c>
      <c r="C16" s="2">
        <v>35.255000000000003</v>
      </c>
      <c r="F16" s="2">
        <f t="shared" si="0"/>
        <v>17.213163765624987</v>
      </c>
      <c r="J16" s="2">
        <f t="shared" si="1"/>
        <v>175.27332750694444</v>
      </c>
      <c r="M16" s="2">
        <f t="shared" si="2"/>
        <v>17.055000000000003</v>
      </c>
      <c r="O16" s="2">
        <f t="shared" si="3"/>
        <v>82.631887543402897</v>
      </c>
    </row>
    <row r="17" spans="1:15" x14ac:dyDescent="0.2">
      <c r="A17" s="2" t="s">
        <v>27</v>
      </c>
      <c r="B17" s="2">
        <v>12.13</v>
      </c>
      <c r="C17" s="2">
        <v>22.158000000000001</v>
      </c>
      <c r="F17" s="2">
        <f t="shared" si="0"/>
        <v>3.6907212656249997</v>
      </c>
      <c r="J17" s="2">
        <f t="shared" si="1"/>
        <v>2.0187673611110735E-2</v>
      </c>
      <c r="M17" s="2">
        <f t="shared" si="2"/>
        <v>10.028</v>
      </c>
      <c r="O17" s="2">
        <f t="shared" si="3"/>
        <v>4.2568286267361239</v>
      </c>
    </row>
    <row r="18" spans="1:15" x14ac:dyDescent="0.2">
      <c r="A18" s="2" t="s">
        <v>28</v>
      </c>
      <c r="B18" s="2">
        <v>18.495000000000001</v>
      </c>
      <c r="C18" s="2">
        <v>25.138999999999999</v>
      </c>
      <c r="F18" s="2">
        <f t="shared" si="0"/>
        <v>19.748025015625004</v>
      </c>
      <c r="J18" s="2">
        <f t="shared" si="1"/>
        <v>9.7536495069444236</v>
      </c>
      <c r="M18" s="2">
        <f t="shared" si="2"/>
        <v>6.6439999999999984</v>
      </c>
      <c r="O18" s="2">
        <f t="shared" si="3"/>
        <v>1.7444906267361087</v>
      </c>
    </row>
    <row r="19" spans="1:15" x14ac:dyDescent="0.2">
      <c r="A19" s="2" t="s">
        <v>29</v>
      </c>
      <c r="B19" s="2">
        <v>10.638999999999999</v>
      </c>
      <c r="C19" s="2">
        <v>20.428999999999998</v>
      </c>
      <c r="F19" s="2">
        <f t="shared" si="0"/>
        <v>11.642597015625009</v>
      </c>
      <c r="J19" s="2">
        <f t="shared" si="1"/>
        <v>2.5183045069444576</v>
      </c>
      <c r="M19" s="2">
        <f t="shared" si="2"/>
        <v>9.7899999999999991</v>
      </c>
      <c r="O19" s="2">
        <f t="shared" si="3"/>
        <v>3.331385460069451</v>
      </c>
    </row>
    <row r="20" spans="1:15" x14ac:dyDescent="0.2">
      <c r="A20" s="2" t="s">
        <v>30</v>
      </c>
      <c r="B20" s="2">
        <v>11.343999999999999</v>
      </c>
      <c r="C20" s="2">
        <v>17.425000000000001</v>
      </c>
      <c r="F20" s="2">
        <f t="shared" si="0"/>
        <v>7.3285257656250069</v>
      </c>
      <c r="J20" s="2">
        <f t="shared" si="1"/>
        <v>21.076515840277796</v>
      </c>
      <c r="M20" s="2">
        <f>C20-B20</f>
        <v>6.0810000000000013</v>
      </c>
      <c r="O20" s="2">
        <f t="shared" si="3"/>
        <v>3.5486710434027628</v>
      </c>
    </row>
    <row r="21" spans="1:15" x14ac:dyDescent="0.2">
      <c r="A21" s="2" t="s">
        <v>31</v>
      </c>
      <c r="B21" s="2">
        <v>12.369</v>
      </c>
      <c r="C21" s="2">
        <v>34.287999999999997</v>
      </c>
      <c r="F21" s="2">
        <f t="shared" si="0"/>
        <v>2.8295445156250034</v>
      </c>
      <c r="J21" s="2">
        <f t="shared" si="1"/>
        <v>150.60402934027763</v>
      </c>
      <c r="M21" s="2">
        <f t="shared" si="2"/>
        <v>21.918999999999997</v>
      </c>
      <c r="O21" s="2">
        <f t="shared" si="3"/>
        <v>194.71993021006946</v>
      </c>
    </row>
    <row r="22" spans="1:15" x14ac:dyDescent="0.2">
      <c r="A22" s="2" t="s">
        <v>32</v>
      </c>
      <c r="B22" s="2">
        <v>12.944000000000001</v>
      </c>
      <c r="C22" s="2">
        <v>23.893999999999998</v>
      </c>
      <c r="F22" s="2">
        <f t="shared" si="0"/>
        <v>1.2257257656249998</v>
      </c>
      <c r="J22" s="2">
        <f t="shared" si="1"/>
        <v>3.5271970069444287</v>
      </c>
      <c r="M22" s="2">
        <f t="shared" si="2"/>
        <v>10.949999999999998</v>
      </c>
      <c r="O22" s="2">
        <f t="shared" si="3"/>
        <v>8.9114687934027792</v>
      </c>
    </row>
    <row r="23" spans="1:15" x14ac:dyDescent="0.2">
      <c r="A23" s="2" t="s">
        <v>33</v>
      </c>
      <c r="B23" s="2">
        <v>14.233000000000001</v>
      </c>
      <c r="C23" s="2">
        <v>17.96</v>
      </c>
      <c r="F23" s="2">
        <f t="shared" si="0"/>
        <v>3.3078515624999923E-2</v>
      </c>
      <c r="J23" s="2">
        <f t="shared" si="1"/>
        <v>16.450460006944457</v>
      </c>
      <c r="M23" s="2">
        <f t="shared" si="2"/>
        <v>3.7270000000000003</v>
      </c>
      <c r="O23" s="2">
        <f t="shared" si="3"/>
        <v>17.958878210069418</v>
      </c>
    </row>
    <row r="24" spans="1:15" x14ac:dyDescent="0.2">
      <c r="A24" s="2" t="s">
        <v>34</v>
      </c>
      <c r="B24" s="2">
        <v>19.71</v>
      </c>
      <c r="C24" s="2">
        <v>22.058</v>
      </c>
      <c r="F24" s="2">
        <f t="shared" si="0"/>
        <v>32.022866265624998</v>
      </c>
      <c r="J24" s="2">
        <f t="shared" si="1"/>
        <v>1.7710069444442133E-3</v>
      </c>
      <c r="M24" s="2">
        <f t="shared" si="2"/>
        <v>2.347999999999999</v>
      </c>
      <c r="O24" s="2">
        <f t="shared" si="3"/>
        <v>31.548348626736093</v>
      </c>
    </row>
    <row r="25" spans="1:15" x14ac:dyDescent="0.2">
      <c r="A25" s="2" t="s">
        <v>35</v>
      </c>
      <c r="B25" s="2">
        <v>16.004000000000001</v>
      </c>
      <c r="C25" s="2">
        <v>21.157</v>
      </c>
      <c r="F25" s="2">
        <f t="shared" si="0"/>
        <v>3.8137207656250021</v>
      </c>
      <c r="J25" s="2">
        <f t="shared" si="1"/>
        <v>0.73773784027778211</v>
      </c>
      <c r="M25" s="2">
        <f t="shared" si="2"/>
        <v>5.1529999999999987</v>
      </c>
      <c r="O25" s="2">
        <f t="shared" si="3"/>
        <v>7.9061723767361034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stroopdata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sccds Liu</dc:creator>
  <cp:lastModifiedBy>sccds Liu</cp:lastModifiedBy>
  <dcterms:created xsi:type="dcterms:W3CDTF">2017-08-10T11:38:34Z</dcterms:created>
  <dcterms:modified xsi:type="dcterms:W3CDTF">2017-08-10T15:09:31Z</dcterms:modified>
</cp:coreProperties>
</file>